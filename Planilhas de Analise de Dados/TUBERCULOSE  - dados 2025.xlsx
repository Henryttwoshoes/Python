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-henrique\Documentos locais\Analise de Dados\Liga Acadêmica\"/>
    </mc:Choice>
  </mc:AlternateContent>
  <xr:revisionPtr revIDLastSave="0" documentId="13_ncr:1_{9FAA170A-E553-464C-98EA-4A4BC21B5D50}" xr6:coauthVersionLast="47" xr6:coauthVersionMax="47" xr10:uidLastSave="{00000000-0000-0000-0000-000000000000}"/>
  <bookViews>
    <workbookView xWindow="-120" yWindow="-120" windowWidth="21840" windowHeight="13020" xr2:uid="{E72E6549-B90F-4714-83D3-7B8A5F7E81D5}"/>
  </bookViews>
  <sheets>
    <sheet name="Planilha2" sheetId="2" r:id="rId1"/>
    <sheet name="Planilha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B45" i="2"/>
  <c r="B16" i="2"/>
  <c r="C66" i="2"/>
  <c r="B66" i="2"/>
  <c r="C62" i="2"/>
  <c r="B62" i="2"/>
  <c r="C64" i="2"/>
  <c r="B64" i="2"/>
  <c r="G19" i="2"/>
  <c r="C43" i="2"/>
  <c r="D43" i="2"/>
  <c r="E43" i="2"/>
  <c r="F43" i="2"/>
  <c r="B43" i="2"/>
  <c r="C41" i="2"/>
  <c r="D41" i="2"/>
  <c r="E41" i="2"/>
  <c r="F41" i="2"/>
  <c r="G41" i="2"/>
  <c r="B41" i="2"/>
  <c r="C39" i="2"/>
  <c r="D39" i="2"/>
  <c r="E39" i="2"/>
  <c r="F39" i="2"/>
  <c r="G39" i="2"/>
  <c r="G43" i="2" s="1"/>
  <c r="B39" i="2"/>
  <c r="C37" i="2"/>
  <c r="D37" i="2"/>
  <c r="E37" i="2"/>
  <c r="F37" i="2"/>
  <c r="G37" i="2"/>
  <c r="B37" i="2"/>
  <c r="B33" i="2"/>
  <c r="C35" i="2"/>
  <c r="D35" i="2"/>
  <c r="E35" i="2"/>
  <c r="F35" i="2"/>
  <c r="G35" i="2"/>
  <c r="B35" i="2"/>
  <c r="B90" i="2"/>
  <c r="C33" i="2"/>
  <c r="D33" i="2"/>
  <c r="E33" i="2"/>
  <c r="F33" i="2"/>
  <c r="G33" i="2"/>
  <c r="G20" i="2"/>
  <c r="G21" i="2"/>
  <c r="G22" i="2"/>
  <c r="G23" i="2"/>
  <c r="G24" i="2"/>
  <c r="G25" i="2"/>
  <c r="G26" i="2"/>
  <c r="G27" i="2"/>
  <c r="G28" i="2"/>
  <c r="G29" i="2"/>
  <c r="G30" i="2"/>
</calcChain>
</file>

<file path=xl/sharedStrings.xml><?xml version="1.0" encoding="utf-8"?>
<sst xmlns="http://schemas.openxmlformats.org/spreadsheetml/2006/main" count="57" uniqueCount="19">
  <si>
    <t xml:space="preserve">TUBERCULOSE </t>
  </si>
  <si>
    <t xml:space="preserve">masculino </t>
  </si>
  <si>
    <t>feminino</t>
  </si>
  <si>
    <t>Norte</t>
  </si>
  <si>
    <t xml:space="preserve">Nordeste </t>
  </si>
  <si>
    <t>Sudeste</t>
  </si>
  <si>
    <t>Sul</t>
  </si>
  <si>
    <t xml:space="preserve">Centro Oeste </t>
  </si>
  <si>
    <t>São Paulo</t>
  </si>
  <si>
    <t>Rio Janeiro</t>
  </si>
  <si>
    <t>ano</t>
  </si>
  <si>
    <t>Ano</t>
  </si>
  <si>
    <t>TOTAL</t>
  </si>
  <si>
    <t>Amplitude</t>
  </si>
  <si>
    <t>CORREL</t>
  </si>
  <si>
    <t>DESVIO PADRÃO</t>
  </si>
  <si>
    <t>MÉDIA</t>
  </si>
  <si>
    <t>VARIÂNCIA</t>
  </si>
  <si>
    <t>COEFICIENTE DE VARIAÇÃO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</si>
</sst>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7030A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3" fontId="0" fillId="0" borderId="1" xfId="1" applyNumberFormat="1" applyFont="1" applyBorder="1" applyAlignment="1">
      <alignment horizontal="center"/>
    </xf>
    <xf numFmtId="0" fontId="0" fillId="0" borderId="3" xfId="0" applyBorder="1"/>
    <xf numFmtId="3" fontId="0" fillId="0" borderId="3" xfId="0" applyNumberFormat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3" fillId="0" borderId="5" xfId="0" applyFont="1" applyBorder="1"/>
    <xf numFmtId="3" fontId="3" fillId="0" borderId="6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Planilha2!$A$19:$A$30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Planilha2!$A$19:$A$30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1-4966-802E-A1BA15E79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039791"/>
        <c:axId val="92748372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Planilha2!$A$19:$A$30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  <c:pt idx="4">
                        <c:v>2017</c:v>
                      </c:pt>
                      <c:pt idx="5">
                        <c:v>2018</c:v>
                      </c:pt>
                      <c:pt idx="6">
                        <c:v>2019</c:v>
                      </c:pt>
                      <c:pt idx="7">
                        <c:v>2020</c:v>
                      </c:pt>
                      <c:pt idx="8">
                        <c:v>2021</c:v>
                      </c:pt>
                      <c:pt idx="9">
                        <c:v>2022</c:v>
                      </c:pt>
                      <c:pt idx="10">
                        <c:v>2023</c:v>
                      </c:pt>
                      <c:pt idx="11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Planilha2!$G$19:$G$30</c15:sqref>
                        </c15:formulaRef>
                      </c:ext>
                    </c:extLst>
                    <c:numCache>
                      <c:formatCode>#,##0</c:formatCode>
                      <c:ptCount val="12"/>
                      <c:pt idx="0">
                        <c:v>84222</c:v>
                      </c:pt>
                      <c:pt idx="1">
                        <c:v>85216</c:v>
                      </c:pt>
                      <c:pt idx="2">
                        <c:v>85462</c:v>
                      </c:pt>
                      <c:pt idx="3">
                        <c:v>86210</c:v>
                      </c:pt>
                      <c:pt idx="4">
                        <c:v>90294</c:v>
                      </c:pt>
                      <c:pt idx="5">
                        <c:v>94735</c:v>
                      </c:pt>
                      <c:pt idx="6">
                        <c:v>96684</c:v>
                      </c:pt>
                      <c:pt idx="7">
                        <c:v>86236</c:v>
                      </c:pt>
                      <c:pt idx="8">
                        <c:v>91345</c:v>
                      </c:pt>
                      <c:pt idx="9">
                        <c:v>103124</c:v>
                      </c:pt>
                      <c:pt idx="10">
                        <c:v>109808</c:v>
                      </c:pt>
                      <c:pt idx="11">
                        <c:v>111521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AB1-4966-802E-A1BA15E79FF5}"/>
                  </c:ext>
                </c:extLst>
              </c15:ser>
            </c15:filteredBarSeries>
          </c:ext>
        </c:extLst>
      </c:barChart>
      <c:catAx>
        <c:axId val="7103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7483728"/>
        <c:crosses val="autoZero"/>
        <c:auto val="1"/>
        <c:lblAlgn val="ctr"/>
        <c:lblOffset val="100"/>
        <c:noMultiLvlLbl val="0"/>
      </c:catAx>
      <c:valAx>
        <c:axId val="92748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039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Planilha2!$B$18</c:f>
              <c:strCache>
                <c:ptCount val="1"/>
                <c:pt idx="0">
                  <c:v>Norte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Planilha2!$A$19:$A$30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Planilha2!$B$19:$B$30</c:f>
              <c:numCache>
                <c:formatCode>#,##0</c:formatCode>
                <c:ptCount val="12"/>
                <c:pt idx="0">
                  <c:v>8887</c:v>
                </c:pt>
                <c:pt idx="1">
                  <c:v>8776</c:v>
                </c:pt>
                <c:pt idx="2">
                  <c:v>9013</c:v>
                </c:pt>
                <c:pt idx="3">
                  <c:v>9365</c:v>
                </c:pt>
                <c:pt idx="4">
                  <c:v>10152</c:v>
                </c:pt>
                <c:pt idx="5">
                  <c:v>10413</c:v>
                </c:pt>
                <c:pt idx="6">
                  <c:v>11765</c:v>
                </c:pt>
                <c:pt idx="7">
                  <c:v>10494</c:v>
                </c:pt>
                <c:pt idx="8">
                  <c:v>11556</c:v>
                </c:pt>
                <c:pt idx="9">
                  <c:v>13155</c:v>
                </c:pt>
                <c:pt idx="10">
                  <c:v>13939</c:v>
                </c:pt>
                <c:pt idx="11">
                  <c:v>15065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E3-47ED-AA34-94AF10174FD2}"/>
            </c:ext>
          </c:extLst>
        </c:ser>
        <c:ser>
          <c:idx val="2"/>
          <c:order val="2"/>
          <c:tx>
            <c:strRef>
              <c:f>Planilha2!$C$18</c:f>
              <c:strCache>
                <c:ptCount val="1"/>
                <c:pt idx="0">
                  <c:v>Nordeste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Planilha2!$A$19:$A$30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Planilha2!$C$19:$C$30</c:f>
              <c:numCache>
                <c:formatCode>#,##0</c:formatCode>
                <c:ptCount val="12"/>
                <c:pt idx="0">
                  <c:v>23073</c:v>
                </c:pt>
                <c:pt idx="1">
                  <c:v>22390</c:v>
                </c:pt>
                <c:pt idx="2">
                  <c:v>22202</c:v>
                </c:pt>
                <c:pt idx="3">
                  <c:v>22545</c:v>
                </c:pt>
                <c:pt idx="4">
                  <c:v>23815</c:v>
                </c:pt>
                <c:pt idx="5">
                  <c:v>25230</c:v>
                </c:pt>
                <c:pt idx="6">
                  <c:v>25407</c:v>
                </c:pt>
                <c:pt idx="7">
                  <c:v>22313</c:v>
                </c:pt>
                <c:pt idx="8">
                  <c:v>23830</c:v>
                </c:pt>
                <c:pt idx="9">
                  <c:v>27206</c:v>
                </c:pt>
                <c:pt idx="10">
                  <c:v>27903</c:v>
                </c:pt>
                <c:pt idx="11">
                  <c:v>27559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E3-47ED-AA34-94AF10174FD2}"/>
            </c:ext>
          </c:extLst>
        </c:ser>
        <c:ser>
          <c:idx val="3"/>
          <c:order val="3"/>
          <c:tx>
            <c:strRef>
              <c:f>Planilha2!$D$18</c:f>
              <c:strCache>
                <c:ptCount val="1"/>
                <c:pt idx="0">
                  <c:v>Sudeste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Planilha2!$A$19:$A$30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Planilha2!$D$19:$D$30</c:f>
              <c:numCache>
                <c:formatCode>#,##0</c:formatCode>
                <c:ptCount val="12"/>
                <c:pt idx="0">
                  <c:v>36467</c:v>
                </c:pt>
                <c:pt idx="1">
                  <c:v>38581</c:v>
                </c:pt>
                <c:pt idx="2">
                  <c:v>39203</c:v>
                </c:pt>
                <c:pt idx="3">
                  <c:v>39546</c:v>
                </c:pt>
                <c:pt idx="4">
                  <c:v>41243</c:v>
                </c:pt>
                <c:pt idx="5">
                  <c:v>43031</c:v>
                </c:pt>
                <c:pt idx="6">
                  <c:v>42733</c:v>
                </c:pt>
                <c:pt idx="7">
                  <c:v>38704</c:v>
                </c:pt>
                <c:pt idx="8">
                  <c:v>40733</c:v>
                </c:pt>
                <c:pt idx="9">
                  <c:v>45664</c:v>
                </c:pt>
                <c:pt idx="10">
                  <c:v>49171</c:v>
                </c:pt>
                <c:pt idx="11">
                  <c:v>50261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E3-47ED-AA34-94AF10174FD2}"/>
            </c:ext>
          </c:extLst>
        </c:ser>
        <c:ser>
          <c:idx val="4"/>
          <c:order val="4"/>
          <c:tx>
            <c:strRef>
              <c:f>Planilha2!$E$18</c:f>
              <c:strCache>
                <c:ptCount val="1"/>
                <c:pt idx="0">
                  <c:v>Sul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Planilha2!$A$19:$A$30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Planilha2!$E$19:$E$30</c:f>
              <c:numCache>
                <c:formatCode>#,##0</c:formatCode>
                <c:ptCount val="12"/>
                <c:pt idx="0">
                  <c:v>11266</c:v>
                </c:pt>
                <c:pt idx="1">
                  <c:v>11174</c:v>
                </c:pt>
                <c:pt idx="2">
                  <c:v>11026</c:v>
                </c:pt>
                <c:pt idx="3">
                  <c:v>10678</c:v>
                </c:pt>
                <c:pt idx="4">
                  <c:v>10922</c:v>
                </c:pt>
                <c:pt idx="5">
                  <c:v>11476</c:v>
                </c:pt>
                <c:pt idx="6">
                  <c:v>12065</c:v>
                </c:pt>
                <c:pt idx="7">
                  <c:v>10531</c:v>
                </c:pt>
                <c:pt idx="8">
                  <c:v>10865</c:v>
                </c:pt>
                <c:pt idx="9">
                  <c:v>12065</c:v>
                </c:pt>
                <c:pt idx="10">
                  <c:v>13125</c:v>
                </c:pt>
                <c:pt idx="11">
                  <c:v>13145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E3-47ED-AA34-94AF10174FD2}"/>
            </c:ext>
          </c:extLst>
        </c:ser>
        <c:ser>
          <c:idx val="5"/>
          <c:order val="5"/>
          <c:tx>
            <c:strRef>
              <c:f>Planilha2!$F$18</c:f>
              <c:strCache>
                <c:ptCount val="1"/>
                <c:pt idx="0">
                  <c:v>Centro Oeste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Planilha2!$A$19:$A$30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Planilha2!$F$19:$F$30</c:f>
              <c:numCache>
                <c:formatCode>#,##0</c:formatCode>
                <c:ptCount val="12"/>
                <c:pt idx="0">
                  <c:v>4529</c:v>
                </c:pt>
                <c:pt idx="1">
                  <c:v>4295</c:v>
                </c:pt>
                <c:pt idx="2">
                  <c:v>4018</c:v>
                </c:pt>
                <c:pt idx="3">
                  <c:v>4076</c:v>
                </c:pt>
                <c:pt idx="4">
                  <c:v>4162</c:v>
                </c:pt>
                <c:pt idx="5">
                  <c:v>4585</c:v>
                </c:pt>
                <c:pt idx="6">
                  <c:v>4714</c:v>
                </c:pt>
                <c:pt idx="7">
                  <c:v>4194</c:v>
                </c:pt>
                <c:pt idx="8">
                  <c:v>4361</c:v>
                </c:pt>
                <c:pt idx="9">
                  <c:v>5034</c:v>
                </c:pt>
                <c:pt idx="10">
                  <c:v>5670</c:v>
                </c:pt>
                <c:pt idx="11">
                  <c:v>5491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E3-47ED-AA34-94AF10174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034463"/>
        <c:axId val="7872817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Planilha2!$A$18</c15:sqref>
                        </c15:formulaRef>
                      </c:ext>
                    </c:extLst>
                    <c:strCache>
                      <c:ptCount val="1"/>
                      <c:pt idx="0">
                        <c:v>Ano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Planilha2!$A$19:$A$30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  <c:pt idx="4">
                        <c:v>2017</c:v>
                      </c:pt>
                      <c:pt idx="5">
                        <c:v>2018</c:v>
                      </c:pt>
                      <c:pt idx="6">
                        <c:v>2019</c:v>
                      </c:pt>
                      <c:pt idx="7">
                        <c:v>2020</c:v>
                      </c:pt>
                      <c:pt idx="8">
                        <c:v>2021</c:v>
                      </c:pt>
                      <c:pt idx="9">
                        <c:v>2022</c:v>
                      </c:pt>
                      <c:pt idx="10">
                        <c:v>2023</c:v>
                      </c:pt>
                      <c:pt idx="11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Planilha2!$A$19:$A$30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  <c:pt idx="4">
                        <c:v>2017</c:v>
                      </c:pt>
                      <c:pt idx="5">
                        <c:v>2018</c:v>
                      </c:pt>
                      <c:pt idx="6">
                        <c:v>2019</c:v>
                      </c:pt>
                      <c:pt idx="7">
                        <c:v>2020</c:v>
                      </c:pt>
                      <c:pt idx="8">
                        <c:v>2021</c:v>
                      </c:pt>
                      <c:pt idx="9">
                        <c:v>2022</c:v>
                      </c:pt>
                      <c:pt idx="10">
                        <c:v>2023</c:v>
                      </c:pt>
                      <c:pt idx="11">
                        <c:v>2024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4E3-47ED-AA34-94AF10174FD2}"/>
                  </c:ext>
                </c:extLst>
              </c15:ser>
            </c15:filteredBarSeries>
          </c:ext>
        </c:extLst>
      </c:barChart>
      <c:catAx>
        <c:axId val="7803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728175"/>
        <c:crosses val="autoZero"/>
        <c:auto val="1"/>
        <c:lblAlgn val="ctr"/>
        <c:lblOffset val="100"/>
        <c:noMultiLvlLbl val="0"/>
      </c:catAx>
      <c:valAx>
        <c:axId val="7872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03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649387576552931E-2"/>
                  <c:y val="0.249765966754155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Planilha2!$A$19:$A$30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xVal>
          <c:yVal>
            <c:numRef>
              <c:f>Planilha2!$D$19:$D$30</c:f>
              <c:numCache>
                <c:formatCode>#,##0</c:formatCode>
                <c:ptCount val="12"/>
                <c:pt idx="0">
                  <c:v>36467</c:v>
                </c:pt>
                <c:pt idx="1">
                  <c:v>38581</c:v>
                </c:pt>
                <c:pt idx="2">
                  <c:v>39203</c:v>
                </c:pt>
                <c:pt idx="3">
                  <c:v>39546</c:v>
                </c:pt>
                <c:pt idx="4">
                  <c:v>41243</c:v>
                </c:pt>
                <c:pt idx="5">
                  <c:v>43031</c:v>
                </c:pt>
                <c:pt idx="6">
                  <c:v>42733</c:v>
                </c:pt>
                <c:pt idx="7">
                  <c:v>38704</c:v>
                </c:pt>
                <c:pt idx="8">
                  <c:v>40733</c:v>
                </c:pt>
                <c:pt idx="9">
                  <c:v>45664</c:v>
                </c:pt>
                <c:pt idx="10">
                  <c:v>49171</c:v>
                </c:pt>
                <c:pt idx="11">
                  <c:v>50261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40-445C-988D-E3DD07A6E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362815"/>
        <c:axId val="78798735"/>
      </c:scatterChart>
      <c:valAx>
        <c:axId val="137362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798735"/>
        <c:crosses val="autoZero"/>
        <c:crossBetween val="midCat"/>
      </c:valAx>
      <c:valAx>
        <c:axId val="7879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362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Planilha2!$B$48</c:f>
              <c:strCache>
                <c:ptCount val="1"/>
                <c:pt idx="0">
                  <c:v>masculino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Planilha2!$A$49:$A$60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Planilha2!$B$49:$B$60</c:f>
              <c:numCache>
                <c:formatCode>#,##0</c:formatCode>
                <c:ptCount val="12"/>
                <c:pt idx="0">
                  <c:v>58271</c:v>
                </c:pt>
                <c:pt idx="1">
                  <c:v>58081</c:v>
                </c:pt>
                <c:pt idx="2">
                  <c:v>59012</c:v>
                </c:pt>
                <c:pt idx="3">
                  <c:v>59680</c:v>
                </c:pt>
                <c:pt idx="4">
                  <c:v>63375</c:v>
                </c:pt>
                <c:pt idx="5">
                  <c:v>66291</c:v>
                </c:pt>
                <c:pt idx="6">
                  <c:v>67700</c:v>
                </c:pt>
                <c:pt idx="7">
                  <c:v>60769</c:v>
                </c:pt>
                <c:pt idx="8">
                  <c:v>64219</c:v>
                </c:pt>
                <c:pt idx="9">
                  <c:v>72592</c:v>
                </c:pt>
                <c:pt idx="10">
                  <c:v>77611</c:v>
                </c:pt>
                <c:pt idx="11">
                  <c:v>78208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5A-4118-B7A2-74CA353D0254}"/>
            </c:ext>
          </c:extLst>
        </c:ser>
        <c:ser>
          <c:idx val="2"/>
          <c:order val="2"/>
          <c:tx>
            <c:strRef>
              <c:f>Planilha2!$C$48</c:f>
              <c:strCache>
                <c:ptCount val="1"/>
                <c:pt idx="0">
                  <c:v>feminino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Planilha2!$A$49:$A$60</c:f>
              <c:numCache>
                <c:formatCode>General</c:formatCode>
                <c:ptCount val="12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</c:numCache>
            </c:numRef>
          </c:cat>
          <c:val>
            <c:numRef>
              <c:f>Planilha2!$C$49:$C$60</c:f>
              <c:numCache>
                <c:formatCode>#,##0</c:formatCode>
                <c:ptCount val="12"/>
                <c:pt idx="0">
                  <c:v>26941</c:v>
                </c:pt>
                <c:pt idx="1">
                  <c:v>27135</c:v>
                </c:pt>
                <c:pt idx="2">
                  <c:v>26640</c:v>
                </c:pt>
                <c:pt idx="3">
                  <c:v>26530</c:v>
                </c:pt>
                <c:pt idx="4">
                  <c:v>26920</c:v>
                </c:pt>
                <c:pt idx="5">
                  <c:v>28444</c:v>
                </c:pt>
                <c:pt idx="6">
                  <c:v>28985</c:v>
                </c:pt>
                <c:pt idx="7">
                  <c:v>25461</c:v>
                </c:pt>
                <c:pt idx="8">
                  <c:v>27154</c:v>
                </c:pt>
                <c:pt idx="9">
                  <c:v>30717</c:v>
                </c:pt>
                <c:pt idx="10">
                  <c:v>32185</c:v>
                </c:pt>
                <c:pt idx="11">
                  <c:v>33301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5A-4118-B7A2-74CA353D0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551519"/>
        <c:axId val="7875937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Planilha2!$A$48</c15:sqref>
                        </c15:formulaRef>
                      </c:ext>
                    </c:extLst>
                    <c:strCache>
                      <c:ptCount val="1"/>
                      <c:pt idx="0">
                        <c:v>ano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Planilha2!$A$49:$A$60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  <c:pt idx="4">
                        <c:v>2017</c:v>
                      </c:pt>
                      <c:pt idx="5">
                        <c:v>2018</c:v>
                      </c:pt>
                      <c:pt idx="6">
                        <c:v>2019</c:v>
                      </c:pt>
                      <c:pt idx="7">
                        <c:v>2020</c:v>
                      </c:pt>
                      <c:pt idx="8">
                        <c:v>2021</c:v>
                      </c:pt>
                      <c:pt idx="9">
                        <c:v>2022</c:v>
                      </c:pt>
                      <c:pt idx="10">
                        <c:v>2023</c:v>
                      </c:pt>
                      <c:pt idx="11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Planilha2!$A$49:$A$60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  <c:pt idx="4">
                        <c:v>2017</c:v>
                      </c:pt>
                      <c:pt idx="5">
                        <c:v>2018</c:v>
                      </c:pt>
                      <c:pt idx="6">
                        <c:v>2019</c:v>
                      </c:pt>
                      <c:pt idx="7">
                        <c:v>2020</c:v>
                      </c:pt>
                      <c:pt idx="8">
                        <c:v>2021</c:v>
                      </c:pt>
                      <c:pt idx="9">
                        <c:v>2022</c:v>
                      </c:pt>
                      <c:pt idx="10">
                        <c:v>2023</c:v>
                      </c:pt>
                      <c:pt idx="11">
                        <c:v>2024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25A-4118-B7A2-74CA353D0254}"/>
                  </c:ext>
                </c:extLst>
              </c15:ser>
            </c15:filteredBarSeries>
          </c:ext>
        </c:extLst>
      </c:barChart>
      <c:catAx>
        <c:axId val="185551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759375"/>
        <c:crosses val="autoZero"/>
        <c:auto val="1"/>
        <c:lblAlgn val="ctr"/>
        <c:lblOffset val="100"/>
        <c:noMultiLvlLbl val="0"/>
      </c:catAx>
      <c:valAx>
        <c:axId val="7875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5551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514350</xdr:colOff>
      <xdr:row>31</xdr:row>
      <xdr:rowOff>80962</xdr:rowOff>
    </xdr:from>
    <xdr:to>
      <xdr:col>23</xdr:col>
      <xdr:colOff>209550</xdr:colOff>
      <xdr:row>45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B51C45-F6E2-C1EE-B949-963845D6D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476250</xdr:colOff>
      <xdr:row>10</xdr:row>
      <xdr:rowOff>42862</xdr:rowOff>
    </xdr:from>
    <xdr:to>
      <xdr:col>26</xdr:col>
      <xdr:colOff>38100</xdr:colOff>
      <xdr:row>29</xdr:row>
      <xdr:rowOff>171450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BFE7DEB-E1D5-B4EC-01F6-6082510A78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238125</xdr:colOff>
      <xdr:row>21</xdr:row>
      <xdr:rowOff>61912</xdr:rowOff>
    </xdr:from>
    <xdr:to>
      <xdr:col>14</xdr:col>
      <xdr:colOff>542925</xdr:colOff>
      <xdr:row>35</xdr:row>
      <xdr:rowOff>138112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9B31AE4-B405-9596-DDB6-EE39809DFF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190498</xdr:colOff>
      <xdr:row>46</xdr:row>
      <xdr:rowOff>171451</xdr:rowOff>
    </xdr:from>
    <xdr:to>
      <xdr:col>8</xdr:col>
      <xdr:colOff>114299</xdr:colOff>
      <xdr:row>65</xdr:row>
      <xdr:rowOff>42863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4D061AC-6137-C292-C355-80A958040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2E6BF-E4BE-49D5-8CC6-6E4B8D8463EE}">
  <dimension ref="A3:G90"/>
  <sheetViews>
    <sheetView tabSelected="1" topLeftCell="A28" zoomScaleNormal="100" workbookViewId="0">
      <selection activeCell="G31" sqref="G31"/>
    </sheetView>
  </sheetViews>
  <sheetFormatPr defaultRowHeight="15" x14ac:dyDescent="0.25"/>
  <cols>
    <col min="2" max="7" width="26.5703125" bestFit="1" customWidth="1"/>
  </cols>
  <sheetData>
    <row r="3" spans="1:2" x14ac:dyDescent="0.25">
      <c r="A3" s="4" t="s">
        <v>10</v>
      </c>
      <c r="B3" s="4" t="s">
        <v>0</v>
      </c>
    </row>
    <row r="4" spans="1:2" x14ac:dyDescent="0.25">
      <c r="A4" s="8">
        <v>2013</v>
      </c>
      <c r="B4" s="7">
        <v>85212</v>
      </c>
    </row>
    <row r="5" spans="1:2" x14ac:dyDescent="0.25">
      <c r="A5" s="8">
        <v>2014</v>
      </c>
      <c r="B5" s="7">
        <v>85216</v>
      </c>
    </row>
    <row r="6" spans="1:2" x14ac:dyDescent="0.25">
      <c r="A6" s="8">
        <v>2015</v>
      </c>
      <c r="B6" s="7">
        <v>85416</v>
      </c>
    </row>
    <row r="7" spans="1:2" x14ac:dyDescent="0.25">
      <c r="A7" s="8">
        <v>2016</v>
      </c>
      <c r="B7" s="7">
        <v>86210</v>
      </c>
    </row>
    <row r="8" spans="1:2" x14ac:dyDescent="0.25">
      <c r="A8" s="8">
        <v>2017</v>
      </c>
      <c r="B8" s="7">
        <v>90295</v>
      </c>
    </row>
    <row r="9" spans="1:2" x14ac:dyDescent="0.25">
      <c r="A9" s="8">
        <v>2018</v>
      </c>
      <c r="B9" s="7">
        <v>94735</v>
      </c>
    </row>
    <row r="10" spans="1:2" x14ac:dyDescent="0.25">
      <c r="A10" s="8">
        <v>2019</v>
      </c>
      <c r="B10" s="7">
        <v>96685</v>
      </c>
    </row>
    <row r="11" spans="1:2" x14ac:dyDescent="0.25">
      <c r="A11" s="8">
        <v>2020</v>
      </c>
      <c r="B11" s="7">
        <v>86236</v>
      </c>
    </row>
    <row r="12" spans="1:2" x14ac:dyDescent="0.25">
      <c r="A12" s="8">
        <v>2021</v>
      </c>
      <c r="B12" s="7">
        <v>91385</v>
      </c>
    </row>
    <row r="13" spans="1:2" x14ac:dyDescent="0.25">
      <c r="A13" s="8">
        <v>2022</v>
      </c>
      <c r="B13" s="7">
        <v>103322</v>
      </c>
    </row>
    <row r="14" spans="1:2" x14ac:dyDescent="0.25">
      <c r="A14" s="8">
        <v>2023</v>
      </c>
      <c r="B14" s="7">
        <v>109807</v>
      </c>
    </row>
    <row r="15" spans="1:2" x14ac:dyDescent="0.25">
      <c r="A15" s="8">
        <v>2024</v>
      </c>
      <c r="B15" s="7">
        <v>111521</v>
      </c>
    </row>
    <row r="16" spans="1:2" x14ac:dyDescent="0.25">
      <c r="A16" s="8">
        <v>2025</v>
      </c>
      <c r="B16" s="7">
        <f>1015 * A16 - 2000000</f>
        <v>55375</v>
      </c>
    </row>
    <row r="18" spans="1:7" x14ac:dyDescent="0.25">
      <c r="A18" s="4" t="s">
        <v>11</v>
      </c>
      <c r="B18" s="4" t="s">
        <v>3</v>
      </c>
      <c r="C18" s="4" t="s">
        <v>4</v>
      </c>
      <c r="D18" s="4" t="s">
        <v>5</v>
      </c>
      <c r="E18" s="4" t="s">
        <v>6</v>
      </c>
      <c r="F18" s="4" t="s">
        <v>7</v>
      </c>
      <c r="G18" s="12" t="s">
        <v>12</v>
      </c>
    </row>
    <row r="19" spans="1:7" x14ac:dyDescent="0.25">
      <c r="A19" s="1">
        <v>2013</v>
      </c>
      <c r="B19" s="7">
        <v>8887</v>
      </c>
      <c r="C19" s="7">
        <v>23073</v>
      </c>
      <c r="D19" s="7">
        <v>36467</v>
      </c>
      <c r="E19" s="7">
        <v>11266</v>
      </c>
      <c r="F19" s="7">
        <v>4529</v>
      </c>
      <c r="G19" s="7">
        <f>SUM(B19:F19)</f>
        <v>84222</v>
      </c>
    </row>
    <row r="20" spans="1:7" x14ac:dyDescent="0.25">
      <c r="A20" s="1">
        <v>2014</v>
      </c>
      <c r="B20" s="7">
        <v>8776</v>
      </c>
      <c r="C20" s="7">
        <v>22390</v>
      </c>
      <c r="D20" s="7">
        <v>38581</v>
      </c>
      <c r="E20" s="7">
        <v>11174</v>
      </c>
      <c r="F20" s="7">
        <v>4295</v>
      </c>
      <c r="G20" s="7">
        <f t="shared" ref="G20:G30" si="0">SUM(B20:F20)</f>
        <v>85216</v>
      </c>
    </row>
    <row r="21" spans="1:7" x14ac:dyDescent="0.25">
      <c r="A21" s="1">
        <v>2015</v>
      </c>
      <c r="B21" s="7">
        <v>9013</v>
      </c>
      <c r="C21" s="7">
        <v>22202</v>
      </c>
      <c r="D21" s="7">
        <v>39203</v>
      </c>
      <c r="E21" s="7">
        <v>11026</v>
      </c>
      <c r="F21" s="7">
        <v>4018</v>
      </c>
      <c r="G21" s="7">
        <f t="shared" si="0"/>
        <v>85462</v>
      </c>
    </row>
    <row r="22" spans="1:7" x14ac:dyDescent="0.25">
      <c r="A22" s="1">
        <v>2016</v>
      </c>
      <c r="B22" s="7">
        <v>9365</v>
      </c>
      <c r="C22" s="7">
        <v>22545</v>
      </c>
      <c r="D22" s="7">
        <v>39546</v>
      </c>
      <c r="E22" s="7">
        <v>10678</v>
      </c>
      <c r="F22" s="7">
        <v>4076</v>
      </c>
      <c r="G22" s="7">
        <f t="shared" si="0"/>
        <v>86210</v>
      </c>
    </row>
    <row r="23" spans="1:7" x14ac:dyDescent="0.25">
      <c r="A23" s="1">
        <v>2017</v>
      </c>
      <c r="B23" s="7">
        <v>10152</v>
      </c>
      <c r="C23" s="7">
        <v>23815</v>
      </c>
      <c r="D23" s="7">
        <v>41243</v>
      </c>
      <c r="E23" s="7">
        <v>10922</v>
      </c>
      <c r="F23" s="7">
        <v>4162</v>
      </c>
      <c r="G23" s="7">
        <f t="shared" si="0"/>
        <v>90294</v>
      </c>
    </row>
    <row r="24" spans="1:7" x14ac:dyDescent="0.25">
      <c r="A24" s="1">
        <v>2018</v>
      </c>
      <c r="B24" s="7">
        <v>10413</v>
      </c>
      <c r="C24" s="7">
        <v>25230</v>
      </c>
      <c r="D24" s="7">
        <v>43031</v>
      </c>
      <c r="E24" s="7">
        <v>11476</v>
      </c>
      <c r="F24" s="7">
        <v>4585</v>
      </c>
      <c r="G24" s="7">
        <f t="shared" si="0"/>
        <v>94735</v>
      </c>
    </row>
    <row r="25" spans="1:7" x14ac:dyDescent="0.25">
      <c r="A25" s="1">
        <v>2019</v>
      </c>
      <c r="B25" s="7">
        <v>11765</v>
      </c>
      <c r="C25" s="7">
        <v>25407</v>
      </c>
      <c r="D25" s="7">
        <v>42733</v>
      </c>
      <c r="E25" s="7">
        <v>12065</v>
      </c>
      <c r="F25" s="7">
        <v>4714</v>
      </c>
      <c r="G25" s="7">
        <f t="shared" si="0"/>
        <v>96684</v>
      </c>
    </row>
    <row r="26" spans="1:7" x14ac:dyDescent="0.25">
      <c r="A26" s="1">
        <v>2020</v>
      </c>
      <c r="B26" s="7">
        <v>10494</v>
      </c>
      <c r="C26" s="7">
        <v>22313</v>
      </c>
      <c r="D26" s="7">
        <v>38704</v>
      </c>
      <c r="E26" s="7">
        <v>10531</v>
      </c>
      <c r="F26" s="7">
        <v>4194</v>
      </c>
      <c r="G26" s="7">
        <f t="shared" si="0"/>
        <v>86236</v>
      </c>
    </row>
    <row r="27" spans="1:7" x14ac:dyDescent="0.25">
      <c r="A27" s="1">
        <v>2021</v>
      </c>
      <c r="B27" s="7">
        <v>11556</v>
      </c>
      <c r="C27" s="7">
        <v>23830</v>
      </c>
      <c r="D27" s="7">
        <v>40733</v>
      </c>
      <c r="E27" s="7">
        <v>10865</v>
      </c>
      <c r="F27" s="7">
        <v>4361</v>
      </c>
      <c r="G27" s="7">
        <f t="shared" si="0"/>
        <v>91345</v>
      </c>
    </row>
    <row r="28" spans="1:7" x14ac:dyDescent="0.25">
      <c r="A28" s="1">
        <v>2022</v>
      </c>
      <c r="B28" s="7">
        <v>13155</v>
      </c>
      <c r="C28" s="7">
        <v>27206</v>
      </c>
      <c r="D28" s="7">
        <v>45664</v>
      </c>
      <c r="E28" s="7">
        <v>12065</v>
      </c>
      <c r="F28" s="7">
        <v>5034</v>
      </c>
      <c r="G28" s="7">
        <f t="shared" si="0"/>
        <v>103124</v>
      </c>
    </row>
    <row r="29" spans="1:7" x14ac:dyDescent="0.25">
      <c r="A29" s="1">
        <v>2023</v>
      </c>
      <c r="B29" s="7">
        <v>13939</v>
      </c>
      <c r="C29" s="7">
        <v>27903</v>
      </c>
      <c r="D29" s="7">
        <v>49171</v>
      </c>
      <c r="E29" s="7">
        <v>13125</v>
      </c>
      <c r="F29" s="7">
        <v>5670</v>
      </c>
      <c r="G29" s="7">
        <f t="shared" si="0"/>
        <v>109808</v>
      </c>
    </row>
    <row r="30" spans="1:7" ht="15.75" thickBot="1" x14ac:dyDescent="0.3">
      <c r="A30" s="15">
        <v>2024</v>
      </c>
      <c r="B30" s="16">
        <v>15065</v>
      </c>
      <c r="C30" s="16">
        <v>27559</v>
      </c>
      <c r="D30" s="16">
        <v>50261</v>
      </c>
      <c r="E30" s="16">
        <v>13145</v>
      </c>
      <c r="F30" s="16">
        <v>5491</v>
      </c>
      <c r="G30" s="16">
        <f t="shared" si="0"/>
        <v>111521</v>
      </c>
    </row>
    <row r="31" spans="1:7" ht="15.75" thickBot="1" x14ac:dyDescent="0.3">
      <c r="A31" s="18">
        <v>2025</v>
      </c>
      <c r="B31" s="19"/>
      <c r="C31" s="19"/>
      <c r="D31" s="19">
        <f>1015*2025 - 2000000</f>
        <v>55375</v>
      </c>
      <c r="E31" s="19"/>
      <c r="F31" s="19"/>
      <c r="G31" s="20"/>
    </row>
    <row r="32" spans="1:7" x14ac:dyDescent="0.25">
      <c r="B32" s="17" t="s">
        <v>13</v>
      </c>
      <c r="C32" s="17" t="s">
        <v>13</v>
      </c>
      <c r="D32" s="17" t="s">
        <v>13</v>
      </c>
      <c r="E32" s="17" t="s">
        <v>13</v>
      </c>
      <c r="F32" s="17" t="s">
        <v>13</v>
      </c>
      <c r="G32" s="17" t="s">
        <v>13</v>
      </c>
    </row>
    <row r="33" spans="1:7" x14ac:dyDescent="0.25">
      <c r="B33" s="7">
        <f>MAX(B19:B30)-MIN(B19:B30)</f>
        <v>6289</v>
      </c>
      <c r="C33" s="7">
        <f>MAX(C19:C30)-MIN(C19:C30)</f>
        <v>5701</v>
      </c>
      <c r="D33" s="7">
        <f>MAX(D19:D30)-MIN(D19:D30)</f>
        <v>13794</v>
      </c>
      <c r="E33" s="7">
        <f>MAX(E19:E30)-MIN(E19:E30)</f>
        <v>2614</v>
      </c>
      <c r="F33" s="7">
        <f>MAX(F19:F30)-MIN(F19:F30)</f>
        <v>1652</v>
      </c>
      <c r="G33" s="7">
        <f>MAX(G19:G30)-MIN(G19:G30)</f>
        <v>27299</v>
      </c>
    </row>
    <row r="34" spans="1:7" x14ac:dyDescent="0.25">
      <c r="B34" s="12" t="s">
        <v>14</v>
      </c>
      <c r="C34" s="12" t="s">
        <v>14</v>
      </c>
      <c r="D34" s="12" t="s">
        <v>14</v>
      </c>
      <c r="E34" s="12" t="s">
        <v>14</v>
      </c>
      <c r="F34" s="12" t="s">
        <v>14</v>
      </c>
      <c r="G34" s="12" t="s">
        <v>14</v>
      </c>
    </row>
    <row r="35" spans="1:7" x14ac:dyDescent="0.25">
      <c r="B35" s="13">
        <f>CORREL(B19:B30,$A19:$A30)</f>
        <v>0.94576740774174795</v>
      </c>
      <c r="C35" s="13">
        <f>CORREL(C19:C30,$A19:$A30)</f>
        <v>0.79767022752150163</v>
      </c>
      <c r="D35" s="13">
        <f>CORREL(D19:D30,$A19:$A30)</f>
        <v>0.85036092762549842</v>
      </c>
      <c r="E35" s="13">
        <f>CORREL(E19:E30,$A19:$A30)</f>
        <v>0.64946542400055274</v>
      </c>
      <c r="F35" s="13">
        <f>CORREL(F19:F30,$A19:$A30)</f>
        <v>0.73396086204905764</v>
      </c>
      <c r="G35" s="13">
        <f>CORREL(G19:G30,$A19:$A30)</f>
        <v>0.85891515722108547</v>
      </c>
    </row>
    <row r="36" spans="1:7" x14ac:dyDescent="0.25">
      <c r="B36" s="12" t="s">
        <v>16</v>
      </c>
      <c r="C36" s="12" t="s">
        <v>16</v>
      </c>
      <c r="D36" s="12" t="s">
        <v>16</v>
      </c>
      <c r="E36" s="12" t="s">
        <v>16</v>
      </c>
      <c r="F36" s="12" t="s">
        <v>16</v>
      </c>
      <c r="G36" s="12" t="s">
        <v>16</v>
      </c>
    </row>
    <row r="37" spans="1:7" x14ac:dyDescent="0.25">
      <c r="B37" s="14">
        <f>AVERAGE(B19:B30)</f>
        <v>11048.333333333334</v>
      </c>
      <c r="C37" s="14">
        <f>AVERAGE(C19:C30)</f>
        <v>24456.083333333332</v>
      </c>
      <c r="D37" s="14">
        <f>AVERAGE(D19:D30)</f>
        <v>42111.416666666664</v>
      </c>
      <c r="E37" s="14">
        <f>AVERAGE(E19:E30)</f>
        <v>11528.166666666666</v>
      </c>
      <c r="F37" s="14">
        <f>AVERAGE(F19:F30)</f>
        <v>4594.083333333333</v>
      </c>
      <c r="G37" s="14">
        <f>AVERAGE(G19:G30)</f>
        <v>93738.083333333328</v>
      </c>
    </row>
    <row r="38" spans="1:7" x14ac:dyDescent="0.25">
      <c r="B38" s="12" t="s">
        <v>15</v>
      </c>
      <c r="C38" s="12" t="s">
        <v>15</v>
      </c>
      <c r="D38" s="12" t="s">
        <v>15</v>
      </c>
      <c r="E38" s="12" t="s">
        <v>15</v>
      </c>
      <c r="F38" s="12" t="s">
        <v>15</v>
      </c>
      <c r="G38" s="12" t="s">
        <v>15</v>
      </c>
    </row>
    <row r="39" spans="1:7" x14ac:dyDescent="0.25">
      <c r="B39" s="14">
        <f>_xlfn.STDEV.P(B19:B30)</f>
        <v>2000.5071579199332</v>
      </c>
      <c r="C39" s="14">
        <f>_xlfn.STDEV.P(C19:C30)</f>
        <v>2059.2288790683006</v>
      </c>
      <c r="D39" s="14">
        <f>_xlfn.STDEV.P(D19:D30)</f>
        <v>4120.4214278463742</v>
      </c>
      <c r="E39" s="14">
        <f>_xlfn.STDEV.P(E19:E30)</f>
        <v>852.14521780165046</v>
      </c>
      <c r="F39" s="14">
        <f>_xlfn.STDEV.P(F19:F30)</f>
        <v>521.62445915513672</v>
      </c>
      <c r="G39" s="14">
        <f>_xlfn.STDEV.P(G19:G30)</f>
        <v>9284.6611808431426</v>
      </c>
    </row>
    <row r="40" spans="1:7" x14ac:dyDescent="0.25">
      <c r="B40" s="12" t="s">
        <v>17</v>
      </c>
      <c r="C40" s="12" t="s">
        <v>17</v>
      </c>
      <c r="D40" s="12" t="s">
        <v>17</v>
      </c>
      <c r="E40" s="12" t="s">
        <v>17</v>
      </c>
      <c r="F40" s="12" t="s">
        <v>17</v>
      </c>
      <c r="G40" s="12" t="s">
        <v>17</v>
      </c>
    </row>
    <row r="41" spans="1:7" x14ac:dyDescent="0.25">
      <c r="B41" s="14">
        <f>_xlfn.VAR.P(B19:B30)</f>
        <v>4002028.888888889</v>
      </c>
      <c r="C41" s="14">
        <f>_xlfn.VAR.P(C19:C30)</f>
        <v>4240423.576388889</v>
      </c>
      <c r="D41" s="14">
        <f>_xlfn.VAR.P(D19:D30)</f>
        <v>16977872.743055556</v>
      </c>
      <c r="E41" s="14">
        <f>_xlfn.VAR.P(E19:E30)</f>
        <v>726151.47222222236</v>
      </c>
      <c r="F41" s="14">
        <f>_xlfn.VAR.P(F19:F30)</f>
        <v>272092.07638888888</v>
      </c>
      <c r="G41" s="14">
        <f>_xlfn.VAR.P(G19:G30)</f>
        <v>86204933.243055567</v>
      </c>
    </row>
    <row r="42" spans="1:7" x14ac:dyDescent="0.25">
      <c r="B42" s="12" t="s">
        <v>18</v>
      </c>
      <c r="C42" s="12" t="s">
        <v>18</v>
      </c>
      <c r="D42" s="12" t="s">
        <v>18</v>
      </c>
      <c r="E42" s="12" t="s">
        <v>18</v>
      </c>
      <c r="F42" s="12" t="s">
        <v>18</v>
      </c>
      <c r="G42" s="12" t="s">
        <v>18</v>
      </c>
    </row>
    <row r="43" spans="1:7" x14ac:dyDescent="0.25">
      <c r="B43" s="13">
        <f>B39/B37</f>
        <v>0.18106868226760595</v>
      </c>
      <c r="C43" s="13">
        <f t="shared" ref="C43:G43" si="1">C39/C37</f>
        <v>8.4201090215521052E-2</v>
      </c>
      <c r="D43" s="13">
        <f t="shared" si="1"/>
        <v>9.7845709168646849E-2</v>
      </c>
      <c r="E43" s="13">
        <f t="shared" si="1"/>
        <v>7.3918537304426879E-2</v>
      </c>
      <c r="F43" s="13">
        <f t="shared" si="1"/>
        <v>0.11354266374978035</v>
      </c>
      <c r="G43" s="13">
        <f t="shared" si="1"/>
        <v>9.9048976154406929E-2</v>
      </c>
    </row>
    <row r="45" spans="1:7" x14ac:dyDescent="0.25">
      <c r="B45" s="7">
        <f>FORECAST(2025,B19:B30,A19:A30)</f>
        <v>14610.878787878668</v>
      </c>
    </row>
    <row r="48" spans="1:7" x14ac:dyDescent="0.25">
      <c r="A48" s="3" t="s">
        <v>10</v>
      </c>
      <c r="B48" s="4" t="s">
        <v>1</v>
      </c>
      <c r="C48" s="2" t="s">
        <v>2</v>
      </c>
    </row>
    <row r="49" spans="1:3" x14ac:dyDescent="0.25">
      <c r="A49" s="6">
        <v>2013</v>
      </c>
      <c r="B49" s="5">
        <v>58271</v>
      </c>
      <c r="C49" s="5">
        <v>26941</v>
      </c>
    </row>
    <row r="50" spans="1:3" x14ac:dyDescent="0.25">
      <c r="A50" s="6">
        <v>2014</v>
      </c>
      <c r="B50" s="5">
        <v>58081</v>
      </c>
      <c r="C50" s="5">
        <v>27135</v>
      </c>
    </row>
    <row r="51" spans="1:3" x14ac:dyDescent="0.25">
      <c r="A51" s="6">
        <v>2015</v>
      </c>
      <c r="B51" s="5">
        <v>59012</v>
      </c>
      <c r="C51" s="5">
        <v>26640</v>
      </c>
    </row>
    <row r="52" spans="1:3" x14ac:dyDescent="0.25">
      <c r="A52" s="6">
        <v>2016</v>
      </c>
      <c r="B52" s="5">
        <v>59680</v>
      </c>
      <c r="C52" s="5">
        <v>26530</v>
      </c>
    </row>
    <row r="53" spans="1:3" x14ac:dyDescent="0.25">
      <c r="A53" s="6">
        <v>2017</v>
      </c>
      <c r="B53" s="5">
        <v>63375</v>
      </c>
      <c r="C53" s="5">
        <v>26920</v>
      </c>
    </row>
    <row r="54" spans="1:3" x14ac:dyDescent="0.25">
      <c r="A54" s="6">
        <v>2018</v>
      </c>
      <c r="B54" s="5">
        <v>66291</v>
      </c>
      <c r="C54" s="5">
        <v>28444</v>
      </c>
    </row>
    <row r="55" spans="1:3" x14ac:dyDescent="0.25">
      <c r="A55" s="6">
        <v>2019</v>
      </c>
      <c r="B55" s="5">
        <v>67700</v>
      </c>
      <c r="C55" s="5">
        <v>28985</v>
      </c>
    </row>
    <row r="56" spans="1:3" x14ac:dyDescent="0.25">
      <c r="A56" s="6">
        <v>2020</v>
      </c>
      <c r="B56" s="5">
        <v>60769</v>
      </c>
      <c r="C56" s="5">
        <v>25461</v>
      </c>
    </row>
    <row r="57" spans="1:3" x14ac:dyDescent="0.25">
      <c r="A57" s="6">
        <v>2021</v>
      </c>
      <c r="B57" s="5">
        <v>64219</v>
      </c>
      <c r="C57" s="5">
        <v>27154</v>
      </c>
    </row>
    <row r="58" spans="1:3" x14ac:dyDescent="0.25">
      <c r="A58" s="6">
        <v>2022</v>
      </c>
      <c r="B58" s="5">
        <v>72592</v>
      </c>
      <c r="C58" s="5">
        <v>30717</v>
      </c>
    </row>
    <row r="59" spans="1:3" x14ac:dyDescent="0.25">
      <c r="A59" s="6">
        <v>2023</v>
      </c>
      <c r="B59" s="5">
        <v>77611</v>
      </c>
      <c r="C59" s="5">
        <v>32185</v>
      </c>
    </row>
    <row r="60" spans="1:3" x14ac:dyDescent="0.25">
      <c r="A60" s="6">
        <v>2024</v>
      </c>
      <c r="B60" s="5">
        <v>78208</v>
      </c>
      <c r="C60" s="5">
        <v>33301</v>
      </c>
    </row>
    <row r="61" spans="1:3" x14ac:dyDescent="0.25">
      <c r="B61" s="12" t="s">
        <v>16</v>
      </c>
      <c r="C61" s="12" t="s">
        <v>16</v>
      </c>
    </row>
    <row r="62" spans="1:3" x14ac:dyDescent="0.25">
      <c r="B62" s="14">
        <f>AVERAGE(B49:B60)</f>
        <v>65484.083333333336</v>
      </c>
      <c r="C62" s="14">
        <f>AVERAGE(C49:C60)</f>
        <v>28367.75</v>
      </c>
    </row>
    <row r="63" spans="1:3" x14ac:dyDescent="0.25">
      <c r="B63" s="12" t="s">
        <v>15</v>
      </c>
      <c r="C63" s="12" t="s">
        <v>15</v>
      </c>
    </row>
    <row r="64" spans="1:3" x14ac:dyDescent="0.25">
      <c r="B64" s="14">
        <f>_xlfn.STDEV.P(B49:B60)</f>
        <v>6926.6044044963974</v>
      </c>
      <c r="C64" s="14">
        <f>_xlfn.STDEV.P(C49:C60)</f>
        <v>2358.4994920853105</v>
      </c>
    </row>
    <row r="65" spans="1:3" x14ac:dyDescent="0.25">
      <c r="B65" s="12" t="s">
        <v>18</v>
      </c>
      <c r="C65" s="12" t="s">
        <v>18</v>
      </c>
    </row>
    <row r="66" spans="1:3" x14ac:dyDescent="0.25">
      <c r="B66" s="13">
        <f>B64/B62</f>
        <v>0.10577538925356768</v>
      </c>
      <c r="C66" s="13">
        <f>C64/C62</f>
        <v>8.3140167693430411E-2</v>
      </c>
    </row>
    <row r="76" spans="1:3" x14ac:dyDescent="0.25">
      <c r="A76" s="9"/>
      <c r="B76" s="10" t="s">
        <v>8</v>
      </c>
      <c r="C76" s="10" t="s">
        <v>9</v>
      </c>
    </row>
    <row r="77" spans="1:3" x14ac:dyDescent="0.25">
      <c r="A77" s="9">
        <v>2013</v>
      </c>
      <c r="B77" s="11">
        <v>19534</v>
      </c>
      <c r="C77" s="11">
        <v>13349</v>
      </c>
    </row>
    <row r="78" spans="1:3" x14ac:dyDescent="0.25">
      <c r="A78" s="9">
        <v>2014</v>
      </c>
      <c r="B78" s="11">
        <v>19979</v>
      </c>
      <c r="C78" s="11">
        <v>13095</v>
      </c>
    </row>
    <row r="79" spans="1:3" x14ac:dyDescent="0.25">
      <c r="A79" s="9">
        <v>2015</v>
      </c>
      <c r="B79" s="11">
        <v>20386</v>
      </c>
      <c r="C79" s="11">
        <v>13367</v>
      </c>
    </row>
    <row r="80" spans="1:3" x14ac:dyDescent="0.25">
      <c r="A80" s="9">
        <v>2016</v>
      </c>
      <c r="B80" s="11">
        <v>20589</v>
      </c>
      <c r="C80" s="11">
        <v>13645</v>
      </c>
    </row>
    <row r="81" spans="1:3" x14ac:dyDescent="0.25">
      <c r="A81" s="9">
        <v>2017</v>
      </c>
      <c r="B81" s="11">
        <v>21860</v>
      </c>
      <c r="C81" s="11">
        <v>13929</v>
      </c>
    </row>
    <row r="82" spans="1:3" x14ac:dyDescent="0.25">
      <c r="A82" s="9">
        <v>2018</v>
      </c>
      <c r="B82" s="11">
        <v>22445</v>
      </c>
      <c r="C82" s="11">
        <v>14857</v>
      </c>
    </row>
    <row r="83" spans="1:3" x14ac:dyDescent="0.25">
      <c r="A83" s="9">
        <v>2019</v>
      </c>
      <c r="B83" s="11">
        <v>21809</v>
      </c>
      <c r="C83" s="11">
        <v>15097</v>
      </c>
    </row>
    <row r="84" spans="1:3" x14ac:dyDescent="0.25">
      <c r="A84" s="9">
        <v>2020</v>
      </c>
      <c r="B84" s="11">
        <v>19523</v>
      </c>
      <c r="C84" s="11">
        <v>13712</v>
      </c>
    </row>
    <row r="85" spans="1:3" x14ac:dyDescent="0.25">
      <c r="A85" s="9">
        <v>2021</v>
      </c>
      <c r="B85" s="11">
        <v>19959</v>
      </c>
      <c r="C85" s="11">
        <v>15091</v>
      </c>
    </row>
    <row r="86" spans="1:3" x14ac:dyDescent="0.25">
      <c r="A86" s="9">
        <v>2022</v>
      </c>
      <c r="B86" s="11">
        <v>22891</v>
      </c>
      <c r="C86" s="11">
        <v>16100</v>
      </c>
    </row>
    <row r="87" spans="1:3" x14ac:dyDescent="0.25">
      <c r="A87" s="9">
        <v>2023</v>
      </c>
      <c r="B87" s="11">
        <v>24807</v>
      </c>
      <c r="C87" s="11">
        <v>16954</v>
      </c>
    </row>
    <row r="88" spans="1:3" x14ac:dyDescent="0.25">
      <c r="A88" s="9">
        <v>2024</v>
      </c>
      <c r="B88" s="11">
        <v>25318</v>
      </c>
      <c r="C88" s="11">
        <v>17228</v>
      </c>
    </row>
    <row r="89" spans="1:3" x14ac:dyDescent="0.25">
      <c r="B89" s="12" t="s">
        <v>13</v>
      </c>
    </row>
    <row r="90" spans="1:3" x14ac:dyDescent="0.25">
      <c r="B90" s="7">
        <f t="shared" ref="B90" si="2">MAX(B77:B88)-MIN(B77:B88)</f>
        <v>5795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AC15B-FE2B-4145-AE7F-06BACD5F8B61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De Castro Lugli</dc:creator>
  <cp:lastModifiedBy>Henrique De C. Santos</cp:lastModifiedBy>
  <dcterms:created xsi:type="dcterms:W3CDTF">2025-08-05T20:12:55Z</dcterms:created>
  <dcterms:modified xsi:type="dcterms:W3CDTF">2026-10-30T17:40:09Z</dcterms:modified>
</cp:coreProperties>
</file>